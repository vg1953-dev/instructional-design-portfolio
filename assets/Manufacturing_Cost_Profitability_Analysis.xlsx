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Assumptions" sheetId="2" state="visible" r:id="rId2"/>
    <sheet name="Unit Economics" sheetId="3" state="visible" r:id="rId3"/>
    <sheet name="Monthly Forecast" sheetId="4" state="visible" r:id="rId4"/>
    <sheet name="Scenario Analysis" sheetId="5" state="visible" r:id="rId5"/>
    <sheet name="Dashboard" sheetId="6" state="visible" r:id="rId6"/>
    <sheet name="Variance Dashboard" sheetId="7" state="visible" r:id="rId7"/>
    <sheet name="Scenario Dashboard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,,&quot;M&quot;;[Red]-$#,##0.0,,&quot;M&quot;"/>
    <numFmt numFmtId="165" formatCode="0.0%"/>
    <numFmt numFmtId="166" formatCode="$#,##0;[Red]-$#,##0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17324D"/>
      <sz val="12"/>
    </font>
    <font>
      <b val="1"/>
      <color rgb="00666666"/>
    </font>
    <font>
      <b val="1"/>
      <color rgb="0017324D"/>
      <sz val="18"/>
    </font>
    <font>
      <b val="1"/>
    </font>
    <font>
      <b val="1"/>
      <color rgb="00FFFFFF"/>
    </font>
    <font>
      <i val="1"/>
      <color rgb="00666666"/>
    </font>
    <font>
      <b val="1"/>
      <color rgb="0017324D"/>
    </font>
    <font>
      <b val="1"/>
      <color rgb="0017324D"/>
      <sz val="17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7E6E6"/>
      </patternFill>
    </fill>
    <fill>
      <patternFill patternType="solid">
        <fgColor rgb="00F7F9FB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164" fontId="5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3" fontId="5" fillId="4" borderId="0" applyAlignment="1" pivotButton="0" quotePrefix="0" xfId="0">
      <alignment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166" fontId="0" fillId="6" borderId="0" pivotButton="0" quotePrefix="0" xfId="0"/>
    <xf numFmtId="0" fontId="8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6" fillId="0" borderId="0" pivotButton="0" quotePrefix="0" xfId="0"/>
    <xf numFmtId="164" fontId="10" fillId="4" borderId="0" applyAlignment="1" pivotButton="0" quotePrefix="0" xfId="0">
      <alignment vertical="center"/>
    </xf>
    <xf numFmtId="165" fontId="10" fillId="4" borderId="0" applyAlignment="1" pivotButton="0" quotePrefix="0" xfId="0">
      <alignment vertical="center"/>
    </xf>
    <xf numFmtId="3" fontId="10" fillId="4" borderId="0" applyAlignment="1" pivotButton="0" quotePrefix="0" xfId="0">
      <alignment vertical="center"/>
    </xf>
    <xf numFmtId="0" fontId="7" fillId="5" borderId="0" pivotButton="0" quotePrefix="0" xfId="0"/>
    <xf numFmtId="164" fontId="10" fillId="4" borderId="0" pivotButton="0" quotePrefix="0" xfId="0"/>
    <xf numFmtId="3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Scenario Operating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'Dashboard'!$A$10:$A$12</f>
            </numRef>
          </cat>
          <val>
            <numRef>
              <f>'Dashboard'!$B$10:$B$12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Operating 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Break-even 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>
              <a:prstDash val="solid"/>
            </a:ln>
          </spPr>
          <cat>
            <numRef>
              <f>'Dashboard'!$D$10:$D$12</f>
            </numRef>
          </cat>
          <val>
            <numRef>
              <f>'Dashboard'!$E$10:$E$12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Operating Profit — Budget vs. Actual</a:t>
            </a:r>
          </a:p>
        </rich>
      </tx>
    </title>
    <plotArea>
      <lineChart>
        <grouping val="standard"/>
        <ser>
          <idx val="0"/>
          <order val="0"/>
          <tx>
            <strRef>
              <f>'Variance Dashboard'!B9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'Variance Dashboard'!$A$10:$A$21</f>
            </numRef>
          </cat>
          <val>
            <numRef>
              <f>'Variance Dashboard'!$B$10:$B$21</f>
            </numRef>
          </val>
        </ser>
        <ser>
          <idx val="1"/>
          <order val="1"/>
          <tx>
            <strRef>
              <f>'Variance Dashboard'!C9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'Variance Dashboard'!$A$10:$A$21</f>
            </numRef>
          </cat>
          <val>
            <numRef>
              <f>'Variance Dashboard'!$C$10:$C$21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Operating 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Operating-Profit Sensitivity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'Scenario Dashboard'!C4</f>
            </strRef>
          </tx>
          <spPr>
            <a:ln>
              <a:prstDash val="solid"/>
            </a:ln>
          </spPr>
          <cat>
            <numRef>
              <f>'Scenario Dashboard'!$A$5:$A$8</f>
            </numRef>
          </cat>
          <val>
            <numRef>
              <f>'Scenario Dashboard'!$C$5:$C$8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Profit Impact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13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Manufacturing Cost &amp; Profitability Analysis</t>
        </is>
      </c>
    </row>
    <row r="2" ht="30" customHeight="1">
      <c r="A2" s="2" t="inlineStr">
        <is>
          <t>Self-directed finance &amp; analytics case study using illustrative manufacturing data. No company or Tesla data is used.</t>
        </is>
      </c>
    </row>
    <row r="4">
      <c r="A4" s="3" t="inlineStr">
        <is>
          <t>Business Question</t>
        </is>
      </c>
    </row>
    <row r="5">
      <c r="A5" s="4" t="inlineStr">
        <is>
          <t>How do changes in production volume, selling price, material cost, labor, variable overhead, and fixed costs affect manufacturing profitability—and which drivers deserve the most management attention?</t>
        </is>
      </c>
    </row>
    <row r="6"/>
    <row r="8">
      <c r="A8" s="5" t="inlineStr">
        <is>
          <t>Base-case Revenue</t>
        </is>
      </c>
      <c r="C8" s="5" t="inlineStr">
        <is>
          <t>Operating Profit</t>
        </is>
      </c>
      <c r="E8" s="5" t="inlineStr">
        <is>
          <t>Operating Margin</t>
        </is>
      </c>
      <c r="G8" s="5" t="inlineStr">
        <is>
          <t>Break-even Units</t>
        </is>
      </c>
    </row>
    <row r="9">
      <c r="A9" s="6">
        <f>'Unit Economics'!B11</f>
        <v/>
      </c>
      <c r="C9" s="6">
        <f>'Unit Economics'!B15</f>
        <v/>
      </c>
      <c r="E9" s="7">
        <f>'Unit Economics'!B16</f>
        <v/>
      </c>
      <c r="G9" s="8">
        <f>'Unit Economics'!B17</f>
        <v/>
      </c>
    </row>
    <row r="10"/>
    <row r="12">
      <c r="A12" s="3" t="inlineStr">
        <is>
          <t>Model Components</t>
        </is>
      </c>
    </row>
    <row r="13">
      <c r="A13" s="9" t="inlineStr">
        <is>
          <t>Assumptions</t>
        </is>
      </c>
      <c r="B13" t="inlineStr">
        <is>
          <t>Driver inputs for volume, price, unit costs, and fixed costs.</t>
        </is>
      </c>
    </row>
    <row r="14">
      <c r="A14" s="9" t="inlineStr">
        <is>
          <t>Unit Economics</t>
        </is>
      </c>
      <c r="B14" t="inlineStr">
        <is>
          <t>Contribution margin, break-even volume, operating profit, and margin of safety.</t>
        </is>
      </c>
    </row>
    <row r="15">
      <c r="A15" s="9" t="inlineStr">
        <is>
          <t>Monthly Forecast</t>
        </is>
      </c>
      <c r="B15" t="inlineStr">
        <is>
          <t>Budget vs. illustrative actual performance and variance analysis.</t>
        </is>
      </c>
    </row>
    <row r="16">
      <c r="A16" s="9" t="inlineStr">
        <is>
          <t>Scenario Analysis</t>
        </is>
      </c>
      <c r="B16" t="inlineStr">
        <is>
          <t>Downside, base, upside, and sensitivity analysis.</t>
        </is>
      </c>
    </row>
    <row r="17">
      <c r="A17" s="9" t="inlineStr">
        <is>
          <t>Dashboards</t>
        </is>
      </c>
      <c r="B17" t="inlineStr">
        <is>
          <t>Executive, variance, and scenario views for management communication.</t>
        </is>
      </c>
    </row>
  </sheetData>
  <mergeCells count="16">
    <mergeCell ref="C9:D10"/>
    <mergeCell ref="B14:H14"/>
    <mergeCell ref="B17:H17"/>
    <mergeCell ref="B13:H13"/>
    <mergeCell ref="E9:F10"/>
    <mergeCell ref="A2:H2"/>
    <mergeCell ref="G9:H10"/>
    <mergeCell ref="A5:H6"/>
    <mergeCell ref="B16:H16"/>
    <mergeCell ref="B15:H15"/>
    <mergeCell ref="A1:H1"/>
    <mergeCell ref="G8:H8"/>
    <mergeCell ref="A8:B8"/>
    <mergeCell ref="A9:B10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Assumptions</t>
        </is>
      </c>
    </row>
    <row r="2" ht="30" customHeight="1">
      <c r="A2" s="2" t="inlineStr">
        <is>
          <t>Editable driver inputs for the base manufacturing case.</t>
        </is>
      </c>
    </row>
    <row r="3"/>
    <row r="4">
      <c r="A4" s="10" t="inlineStr">
        <is>
          <t>Driver</t>
        </is>
      </c>
      <c r="B4" s="10" t="inlineStr">
        <is>
          <t>Base Input</t>
        </is>
      </c>
      <c r="C4" s="10" t="inlineStr">
        <is>
          <t>Unit / Note</t>
        </is>
      </c>
    </row>
    <row r="5">
      <c r="A5" t="inlineStr">
        <is>
          <t>Annual production / sales volume</t>
        </is>
      </c>
      <c r="B5" s="11" t="n">
        <v>120000</v>
      </c>
      <c r="C5" t="inlineStr">
        <is>
          <t>units</t>
        </is>
      </c>
    </row>
    <row r="6">
      <c r="A6" t="inlineStr">
        <is>
          <t>Selling price per unit</t>
        </is>
      </c>
      <c r="B6" s="12" t="n">
        <v>420</v>
      </c>
      <c r="C6" t="inlineStr">
        <is>
          <t>$ / unit</t>
        </is>
      </c>
    </row>
    <row r="7">
      <c r="A7" t="inlineStr">
        <is>
          <t>Material cost per unit</t>
        </is>
      </c>
      <c r="B7" s="12" t="n">
        <v>210</v>
      </c>
      <c r="C7" t="inlineStr">
        <is>
          <t>$ / unit</t>
        </is>
      </c>
    </row>
    <row r="8">
      <c r="A8" t="inlineStr">
        <is>
          <t>Direct labor per unit</t>
        </is>
      </c>
      <c r="B8" s="12" t="n">
        <v>48</v>
      </c>
      <c r="C8" t="inlineStr">
        <is>
          <t>$ / unit</t>
        </is>
      </c>
    </row>
    <row r="9">
      <c r="A9" t="inlineStr">
        <is>
          <t>Variable overhead per unit</t>
        </is>
      </c>
      <c r="B9" s="12" t="n">
        <v>25</v>
      </c>
      <c r="C9" t="inlineStr">
        <is>
          <t>$ / unit</t>
        </is>
      </c>
    </row>
    <row r="10">
      <c r="A10" t="inlineStr">
        <is>
          <t>Variable selling cost per unit</t>
        </is>
      </c>
      <c r="B10" s="12" t="n">
        <v>10</v>
      </c>
      <c r="C10" t="inlineStr">
        <is>
          <t>$ / unit</t>
        </is>
      </c>
    </row>
    <row r="11">
      <c r="A11" t="inlineStr">
        <is>
          <t>Annual fixed manufacturing costs</t>
        </is>
      </c>
      <c r="B11" s="12" t="n">
        <v>8500000</v>
      </c>
      <c r="C11" t="inlineStr">
        <is>
          <t>$ / year</t>
        </is>
      </c>
    </row>
    <row r="12">
      <c r="A12" t="inlineStr">
        <is>
          <t>Annual fixed SG&amp;A / other costs</t>
        </is>
      </c>
      <c r="B12" s="12" t="n">
        <v>4100000</v>
      </c>
      <c r="C12" t="inlineStr">
        <is>
          <t>$ / year</t>
        </is>
      </c>
    </row>
    <row r="13"/>
    <row r="14"/>
    <row r="15">
      <c r="A15" s="13" t="inlineStr">
        <is>
          <t>Illustrative portfolio assumptions only — not sourced from Tesla or any employer.</t>
        </is>
      </c>
    </row>
  </sheetData>
  <mergeCells count="3">
    <mergeCell ref="A15:F15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Unit Economics</t>
        </is>
      </c>
    </row>
    <row r="2" ht="30" customHeight="1">
      <c r="A2" s="2" t="inlineStr">
        <is>
          <t>Base-case manufacturing profitability and break-even economics.</t>
        </is>
      </c>
    </row>
    <row r="3"/>
    <row r="4">
      <c r="A4" s="10" t="inlineStr">
        <is>
          <t>Metric</t>
        </is>
      </c>
      <c r="B4" s="10" t="inlineStr">
        <is>
          <t>Value</t>
        </is>
      </c>
      <c r="C4" s="10" t="inlineStr">
        <is>
          <t>Formula / Interpretation</t>
        </is>
      </c>
    </row>
    <row r="5">
      <c r="A5" t="inlineStr">
        <is>
          <t>Selling price / unit</t>
        </is>
      </c>
      <c r="B5" s="14">
        <f>'Assumptions'!B6</f>
        <v/>
      </c>
      <c r="C5" t="inlineStr">
        <is>
          <t>Revenue per unit</t>
        </is>
      </c>
    </row>
    <row r="6">
      <c r="A6" t="inlineStr">
        <is>
          <t>Material cost / unit</t>
        </is>
      </c>
      <c r="B6" s="14">
        <f>'Assumptions'!B7</f>
        <v/>
      </c>
      <c r="C6" t="inlineStr">
        <is>
          <t>Variable cost</t>
        </is>
      </c>
    </row>
    <row r="7">
      <c r="A7" t="inlineStr">
        <is>
          <t>Direct labor / unit</t>
        </is>
      </c>
      <c r="B7" s="14">
        <f>'Assumptions'!B8</f>
        <v/>
      </c>
      <c r="C7" t="inlineStr">
        <is>
          <t>Variable cost</t>
        </is>
      </c>
    </row>
    <row r="8">
      <c r="A8" t="inlineStr">
        <is>
          <t>Variable overhead / unit</t>
        </is>
      </c>
      <c r="B8" s="14">
        <f>'Assumptions'!B9</f>
        <v/>
      </c>
      <c r="C8" t="inlineStr">
        <is>
          <t>Variable cost</t>
        </is>
      </c>
    </row>
    <row r="9">
      <c r="A9" t="inlineStr">
        <is>
          <t>Variable selling / unit</t>
        </is>
      </c>
      <c r="B9" s="14">
        <f>'Assumptions'!B10</f>
        <v/>
      </c>
      <c r="C9" t="inlineStr">
        <is>
          <t>Variable cost</t>
        </is>
      </c>
    </row>
    <row r="10">
      <c r="A10" s="15" t="inlineStr">
        <is>
          <t>Total variable cost / unit</t>
        </is>
      </c>
      <c r="B10" s="14">
        <f>SUM(B6:B9)</f>
        <v/>
      </c>
      <c r="C10" t="inlineStr">
        <is>
          <t>Sum of variable costs</t>
        </is>
      </c>
    </row>
    <row r="11">
      <c r="A11" s="15" t="inlineStr">
        <is>
          <t>Contribution / unit</t>
        </is>
      </c>
      <c r="B11" s="14">
        <f>B5-B10</f>
        <v/>
      </c>
      <c r="C11" t="inlineStr">
        <is>
          <t>Price less variable cost</t>
        </is>
      </c>
    </row>
    <row r="12">
      <c r="A12" t="inlineStr">
        <is>
          <t>Revenue</t>
        </is>
      </c>
      <c r="B12" s="14">
        <f>'Assumptions'!B5*B5</f>
        <v/>
      </c>
      <c r="C12" t="inlineStr">
        <is>
          <t>Annual volume × selling price</t>
        </is>
      </c>
    </row>
    <row r="13">
      <c r="A13" s="15" t="inlineStr">
        <is>
          <t>Total variable cost</t>
        </is>
      </c>
      <c r="B13" s="14">
        <f>'Assumptions'!B5*B10</f>
        <v/>
      </c>
      <c r="C13" t="inlineStr">
        <is>
          <t>Annual volume × variable cost / unit</t>
        </is>
      </c>
    </row>
    <row r="14">
      <c r="A14" t="inlineStr">
        <is>
          <t>Contribution margin</t>
        </is>
      </c>
      <c r="B14" s="14">
        <f>B11-B12</f>
        <v/>
      </c>
      <c r="C14" t="inlineStr">
        <is>
          <t>Revenue less total variable cost</t>
        </is>
      </c>
    </row>
    <row r="15">
      <c r="A15" s="15" t="inlineStr">
        <is>
          <t>Total fixed costs</t>
        </is>
      </c>
      <c r="B15" s="14">
        <f>'Assumptions'!B11+'Assumptions'!B12</f>
        <v/>
      </c>
      <c r="C15" t="inlineStr">
        <is>
          <t>Fixed manufacturing + fixed SG&amp;A</t>
        </is>
      </c>
    </row>
    <row r="16">
      <c r="A16" t="inlineStr">
        <is>
          <t>Operating profit</t>
        </is>
      </c>
      <c r="B16" s="16">
        <f>B13-B14</f>
        <v/>
      </c>
      <c r="C16" t="inlineStr">
        <is>
          <t>Contribution margin less fixed costs</t>
        </is>
      </c>
    </row>
    <row r="17">
      <c r="A17" s="15" t="inlineStr">
        <is>
          <t>Operating margin</t>
        </is>
      </c>
      <c r="B17" s="17">
        <f>B15/B11</f>
        <v/>
      </c>
      <c r="C17" t="inlineStr">
        <is>
          <t>Operating profit ÷ revenue</t>
        </is>
      </c>
    </row>
    <row r="18">
      <c r="A18" t="inlineStr">
        <is>
          <t>Break-even units</t>
        </is>
      </c>
      <c r="B18">
        <f>B14/B10</f>
        <v/>
      </c>
      <c r="C18" t="inlineStr">
        <is>
          <t>Fixed costs ÷ contribution / unit</t>
        </is>
      </c>
    </row>
    <row r="19">
      <c r="A19" t="inlineStr">
        <is>
          <t>Margin of safety</t>
        </is>
      </c>
      <c r="B19">
        <f>('Assumptions'!B5-B17)/'Assumptions'!B5</f>
        <v/>
      </c>
      <c r="C19" t="inlineStr">
        <is>
          <t>Excess volume above break-even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9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22" customWidth="1" min="10" max="10"/>
    <col width="22" customWidth="1" min="11" max="11"/>
    <col width="17" customWidth="1" min="12" max="12"/>
  </cols>
  <sheetData>
    <row r="1" ht="30" customHeight="1">
      <c r="A1" s="1" t="inlineStr">
        <is>
          <t>Monthly Forecast</t>
        </is>
      </c>
    </row>
    <row r="2" ht="30" customHeight="1">
      <c r="A2" s="2" t="inlineStr">
        <is>
          <t>Budget vs. illustrative actual results and operating-profit variance.</t>
        </is>
      </c>
    </row>
    <row r="3"/>
    <row r="4">
      <c r="A4" s="10" t="inlineStr">
        <is>
          <t>Month</t>
        </is>
      </c>
      <c r="B4" s="10" t="inlineStr">
        <is>
          <t>Budget Units</t>
        </is>
      </c>
      <c r="C4" s="10" t="inlineStr">
        <is>
          <t>Actual Units</t>
        </is>
      </c>
      <c r="D4" s="10" t="inlineStr">
        <is>
          <t>Budget Price</t>
        </is>
      </c>
      <c r="E4" s="10" t="inlineStr">
        <is>
          <t>Actual Price</t>
        </is>
      </c>
      <c r="F4" s="10" t="inlineStr">
        <is>
          <t>Budget Material / Unit</t>
        </is>
      </c>
      <c r="G4" s="10" t="inlineStr">
        <is>
          <t>Actual Material / Unit</t>
        </is>
      </c>
      <c r="H4" s="10" t="inlineStr">
        <is>
          <t>Budget Revenue</t>
        </is>
      </c>
      <c r="I4" s="10" t="inlineStr">
        <is>
          <t>Actual Revenue</t>
        </is>
      </c>
      <c r="J4" s="10" t="inlineStr">
        <is>
          <t>Budget Op Profit</t>
        </is>
      </c>
      <c r="K4" s="10" t="inlineStr">
        <is>
          <t>Actual Op Profit</t>
        </is>
      </c>
      <c r="L4" s="10" t="inlineStr">
        <is>
          <t>Profit Variance</t>
        </is>
      </c>
    </row>
    <row r="5">
      <c r="A5" t="inlineStr">
        <is>
          <t>Jan</t>
        </is>
      </c>
      <c r="B5" t="n">
        <v>8500</v>
      </c>
      <c r="C5" t="n">
        <v>8200</v>
      </c>
      <c r="D5" s="14">
        <f>'Assumptions'!B6</f>
        <v/>
      </c>
      <c r="E5" s="14" t="n">
        <v>417</v>
      </c>
      <c r="F5" s="14">
        <f>'Assumptions'!B7</f>
        <v/>
      </c>
      <c r="G5" s="14" t="n">
        <v>214</v>
      </c>
      <c r="H5" s="14">
        <f>B5*D5</f>
        <v/>
      </c>
      <c r="I5" s="14">
        <f>C5*E5</f>
        <v/>
      </c>
      <c r="J5" s="14">
        <f>B5*(D5-(F5+'Assumptions'!B8+'Assumptions'!B9+'Assumptions'!B10))-('Assumptions'!B11+'Assumptions'!B12)/12</f>
        <v/>
      </c>
      <c r="K5" s="14">
        <f>C5*(E5-(G5+'Assumptions'!B8+'Assumptions'!B9+'Assumptions'!B10))-('Assumptions'!B11+'Assumptions'!B12)/12</f>
        <v/>
      </c>
      <c r="L5" s="14">
        <f>K5-J5</f>
        <v/>
      </c>
    </row>
    <row r="6">
      <c r="A6" t="inlineStr">
        <is>
          <t>Feb</t>
        </is>
      </c>
      <c r="B6" t="n">
        <v>9000</v>
      </c>
      <c r="C6" t="n">
        <v>8700</v>
      </c>
      <c r="D6" s="14">
        <f>'Assumptions'!B6</f>
        <v/>
      </c>
      <c r="E6" s="14" t="n">
        <v>418</v>
      </c>
      <c r="F6" s="14">
        <f>'Assumptions'!B7</f>
        <v/>
      </c>
      <c r="G6" s="14" t="n">
        <v>215</v>
      </c>
      <c r="H6" s="14">
        <f>B6*D6</f>
        <v/>
      </c>
      <c r="I6" s="14">
        <f>C6*E6</f>
        <v/>
      </c>
      <c r="J6" s="14">
        <f>B6*(D6-(F6+'Assumptions'!B8+'Assumptions'!B9+'Assumptions'!B10))-('Assumptions'!B11+'Assumptions'!B12)/12</f>
        <v/>
      </c>
      <c r="K6" s="14">
        <f>C6*(E6-(G6+'Assumptions'!B8+'Assumptions'!B9+'Assumptions'!B10))-('Assumptions'!B11+'Assumptions'!B12)/12</f>
        <v/>
      </c>
      <c r="L6" s="14">
        <f>K6-J6</f>
        <v/>
      </c>
    </row>
    <row r="7">
      <c r="A7" t="inlineStr">
        <is>
          <t>Mar</t>
        </is>
      </c>
      <c r="B7" t="n">
        <v>9500</v>
      </c>
      <c r="C7" t="n">
        <v>9300</v>
      </c>
      <c r="D7" s="14">
        <f>'Assumptions'!B6</f>
        <v/>
      </c>
      <c r="E7" s="14" t="n">
        <v>419</v>
      </c>
      <c r="F7" s="14">
        <f>'Assumptions'!B7</f>
        <v/>
      </c>
      <c r="G7" s="14" t="n">
        <v>214</v>
      </c>
      <c r="H7" s="14">
        <f>B7*D7</f>
        <v/>
      </c>
      <c r="I7" s="14">
        <f>C7*E7</f>
        <v/>
      </c>
      <c r="J7" s="14">
        <f>B7*(D7-(F7+'Assumptions'!B8+'Assumptions'!B9+'Assumptions'!B10))-('Assumptions'!B11+'Assumptions'!B12)/12</f>
        <v/>
      </c>
      <c r="K7" s="14">
        <f>C7*(E7-(G7+'Assumptions'!B8+'Assumptions'!B9+'Assumptions'!B10))-('Assumptions'!B11+'Assumptions'!B12)/12</f>
        <v/>
      </c>
      <c r="L7" s="14">
        <f>K7-J7</f>
        <v/>
      </c>
    </row>
    <row r="8">
      <c r="A8" t="inlineStr">
        <is>
          <t>Apr</t>
        </is>
      </c>
      <c r="B8" t="n">
        <v>9500</v>
      </c>
      <c r="C8" t="n">
        <v>8800</v>
      </c>
      <c r="D8" s="14">
        <f>'Assumptions'!B6</f>
        <v/>
      </c>
      <c r="E8" s="14" t="n">
        <v>416</v>
      </c>
      <c r="F8" s="14">
        <f>'Assumptions'!B7</f>
        <v/>
      </c>
      <c r="G8" s="14" t="n">
        <v>216</v>
      </c>
      <c r="H8" s="14">
        <f>B8*D8</f>
        <v/>
      </c>
      <c r="I8" s="14">
        <f>C8*E8</f>
        <v/>
      </c>
      <c r="J8" s="14">
        <f>B8*(D8-(F8+'Assumptions'!B8+'Assumptions'!B9+'Assumptions'!B10))-('Assumptions'!B11+'Assumptions'!B12)/12</f>
        <v/>
      </c>
      <c r="K8" s="14">
        <f>C8*(E8-(G8+'Assumptions'!B8+'Assumptions'!B9+'Assumptions'!B10))-('Assumptions'!B11+'Assumptions'!B12)/12</f>
        <v/>
      </c>
      <c r="L8" s="14">
        <f>K8-J8</f>
        <v/>
      </c>
    </row>
    <row r="9">
      <c r="A9" t="inlineStr">
        <is>
          <t>May</t>
        </is>
      </c>
      <c r="B9" t="n">
        <v>10000</v>
      </c>
      <c r="C9" t="n">
        <v>9500</v>
      </c>
      <c r="D9" s="14">
        <f>'Assumptions'!B6</f>
        <v/>
      </c>
      <c r="E9" s="14" t="n">
        <v>417</v>
      </c>
      <c r="F9" s="14">
        <f>'Assumptions'!B7</f>
        <v/>
      </c>
      <c r="G9" s="14" t="n">
        <v>218</v>
      </c>
      <c r="H9" s="14">
        <f>B9*D9</f>
        <v/>
      </c>
      <c r="I9" s="14">
        <f>C9*E9</f>
        <v/>
      </c>
      <c r="J9" s="14">
        <f>B9*(D9-(F9+'Assumptions'!B8+'Assumptions'!B9+'Assumptions'!B10))-('Assumptions'!B11+'Assumptions'!B12)/12</f>
        <v/>
      </c>
      <c r="K9" s="14">
        <f>C9*(E9-(G9+'Assumptions'!B8+'Assumptions'!B9+'Assumptions'!B10))-('Assumptions'!B11+'Assumptions'!B12)/12</f>
        <v/>
      </c>
      <c r="L9" s="14">
        <f>K9-J9</f>
        <v/>
      </c>
    </row>
    <row r="10">
      <c r="A10" t="inlineStr">
        <is>
          <t>Jun</t>
        </is>
      </c>
      <c r="B10" t="n">
        <v>10000</v>
      </c>
      <c r="C10" t="n">
        <v>9000</v>
      </c>
      <c r="D10" s="14">
        <f>'Assumptions'!B6</f>
        <v/>
      </c>
      <c r="E10" s="14" t="n">
        <v>415</v>
      </c>
      <c r="F10" s="14">
        <f>'Assumptions'!B7</f>
        <v/>
      </c>
      <c r="G10" s="14" t="n">
        <v>219</v>
      </c>
      <c r="H10" s="14">
        <f>B10*D10</f>
        <v/>
      </c>
      <c r="I10" s="14">
        <f>C10*E10</f>
        <v/>
      </c>
      <c r="J10" s="14">
        <f>B10*(D10-(F10+'Assumptions'!B8+'Assumptions'!B9+'Assumptions'!B10))-('Assumptions'!B11+'Assumptions'!B12)/12</f>
        <v/>
      </c>
      <c r="K10" s="14">
        <f>C10*(E10-(G10+'Assumptions'!B8+'Assumptions'!B9+'Assumptions'!B10))-('Assumptions'!B11+'Assumptions'!B12)/12</f>
        <v/>
      </c>
      <c r="L10" s="14">
        <f>K10-J10</f>
        <v/>
      </c>
    </row>
    <row r="11">
      <c r="A11" t="inlineStr">
        <is>
          <t>Jul</t>
        </is>
      </c>
      <c r="B11" t="n">
        <v>10000</v>
      </c>
      <c r="C11" t="n">
        <v>8600</v>
      </c>
      <c r="D11" s="14">
        <f>'Assumptions'!B6</f>
        <v/>
      </c>
      <c r="E11" s="14" t="n">
        <v>414</v>
      </c>
      <c r="F11" s="14">
        <f>'Assumptions'!B7</f>
        <v/>
      </c>
      <c r="G11" s="14" t="n">
        <v>221</v>
      </c>
      <c r="H11" s="14">
        <f>B11*D11</f>
        <v/>
      </c>
      <c r="I11" s="14">
        <f>C11*E11</f>
        <v/>
      </c>
      <c r="J11" s="14">
        <f>B11*(D11-(F11+'Assumptions'!B8+'Assumptions'!B9+'Assumptions'!B10))-('Assumptions'!B11+'Assumptions'!B12)/12</f>
        <v/>
      </c>
      <c r="K11" s="14">
        <f>C11*(E11-(G11+'Assumptions'!B8+'Assumptions'!B9+'Assumptions'!B10))-('Assumptions'!B11+'Assumptions'!B12)/12</f>
        <v/>
      </c>
      <c r="L11" s="14">
        <f>K11-J11</f>
        <v/>
      </c>
    </row>
    <row r="12">
      <c r="A12" t="inlineStr">
        <is>
          <t>Aug</t>
        </is>
      </c>
      <c r="B12" t="n">
        <v>10500</v>
      </c>
      <c r="C12" t="n">
        <v>10200</v>
      </c>
      <c r="D12" s="14">
        <f>'Assumptions'!B6</f>
        <v/>
      </c>
      <c r="E12" s="14" t="n">
        <v>418</v>
      </c>
      <c r="F12" s="14">
        <f>'Assumptions'!B7</f>
        <v/>
      </c>
      <c r="G12" s="14" t="n">
        <v>218</v>
      </c>
      <c r="H12" s="14">
        <f>B12*D12</f>
        <v/>
      </c>
      <c r="I12" s="14">
        <f>C12*E12</f>
        <v/>
      </c>
      <c r="J12" s="14">
        <f>B12*(D12-(F12+'Assumptions'!B8+'Assumptions'!B9+'Assumptions'!B10))-('Assumptions'!B11+'Assumptions'!B12)/12</f>
        <v/>
      </c>
      <c r="K12" s="14">
        <f>C12*(E12-(G12+'Assumptions'!B8+'Assumptions'!B9+'Assumptions'!B10))-('Assumptions'!B11+'Assumptions'!B12)/12</f>
        <v/>
      </c>
      <c r="L12" s="14">
        <f>K12-J12</f>
        <v/>
      </c>
    </row>
    <row r="13">
      <c r="A13" t="inlineStr">
        <is>
          <t>Sep</t>
        </is>
      </c>
      <c r="B13" t="n">
        <v>10500</v>
      </c>
      <c r="C13" t="n">
        <v>10500</v>
      </c>
      <c r="D13" s="14">
        <f>'Assumptions'!B6</f>
        <v/>
      </c>
      <c r="E13" s="14" t="n">
        <v>419</v>
      </c>
      <c r="F13" s="14">
        <f>'Assumptions'!B7</f>
        <v/>
      </c>
      <c r="G13" s="14" t="n">
        <v>216</v>
      </c>
      <c r="H13" s="14">
        <f>B13*D13</f>
        <v/>
      </c>
      <c r="I13" s="14">
        <f>C13*E13</f>
        <v/>
      </c>
      <c r="J13" s="14">
        <f>B13*(D13-(F13+'Assumptions'!B8+'Assumptions'!B9+'Assumptions'!B10))-('Assumptions'!B11+'Assumptions'!B12)/12</f>
        <v/>
      </c>
      <c r="K13" s="14">
        <f>C13*(E13-(G13+'Assumptions'!B8+'Assumptions'!B9+'Assumptions'!B10))-('Assumptions'!B11+'Assumptions'!B12)/12</f>
        <v/>
      </c>
      <c r="L13" s="14">
        <f>K13-J13</f>
        <v/>
      </c>
    </row>
    <row r="14">
      <c r="A14" t="inlineStr">
        <is>
          <t>Oct</t>
        </is>
      </c>
      <c r="B14" t="n">
        <v>10500</v>
      </c>
      <c r="C14" t="n">
        <v>11100</v>
      </c>
      <c r="D14" s="14">
        <f>'Assumptions'!B6</f>
        <v/>
      </c>
      <c r="E14" s="14" t="n">
        <v>421</v>
      </c>
      <c r="F14" s="14">
        <f>'Assumptions'!B7</f>
        <v/>
      </c>
      <c r="G14" s="14" t="n">
        <v>214</v>
      </c>
      <c r="H14" s="14">
        <f>B14*D14</f>
        <v/>
      </c>
      <c r="I14" s="14">
        <f>C14*E14</f>
        <v/>
      </c>
      <c r="J14" s="14">
        <f>B14*(D14-(F14+'Assumptions'!B8+'Assumptions'!B9+'Assumptions'!B10))-('Assumptions'!B11+'Assumptions'!B12)/12</f>
        <v/>
      </c>
      <c r="K14" s="14">
        <f>C14*(E14-(G14+'Assumptions'!B8+'Assumptions'!B9+'Assumptions'!B10))-('Assumptions'!B11+'Assumptions'!B12)/12</f>
        <v/>
      </c>
      <c r="L14" s="14">
        <f>K14-J14</f>
        <v/>
      </c>
    </row>
    <row r="15">
      <c r="A15" t="inlineStr">
        <is>
          <t>Nov</t>
        </is>
      </c>
      <c r="B15" t="n">
        <v>10000</v>
      </c>
      <c r="C15" t="n">
        <v>10800</v>
      </c>
      <c r="D15" s="14">
        <f>'Assumptions'!B6</f>
        <v/>
      </c>
      <c r="E15" s="14" t="n">
        <v>422</v>
      </c>
      <c r="F15" s="14">
        <f>'Assumptions'!B7</f>
        <v/>
      </c>
      <c r="G15" s="14" t="n">
        <v>213</v>
      </c>
      <c r="H15" s="14">
        <f>B15*D15</f>
        <v/>
      </c>
      <c r="I15" s="14">
        <f>C15*E15</f>
        <v/>
      </c>
      <c r="J15" s="14">
        <f>B15*(D15-(F15+'Assumptions'!B8+'Assumptions'!B9+'Assumptions'!B10))-('Assumptions'!B11+'Assumptions'!B12)/12</f>
        <v/>
      </c>
      <c r="K15" s="14">
        <f>C15*(E15-(G15+'Assumptions'!B8+'Assumptions'!B9+'Assumptions'!B10))-('Assumptions'!B11+'Assumptions'!B12)/12</f>
        <v/>
      </c>
      <c r="L15" s="14">
        <f>K15-J15</f>
        <v/>
      </c>
    </row>
    <row r="16">
      <c r="A16" t="inlineStr">
        <is>
          <t>Dec</t>
        </is>
      </c>
      <c r="B16" t="n">
        <v>10000</v>
      </c>
      <c r="C16" t="n">
        <v>11100</v>
      </c>
      <c r="D16" s="14">
        <f>'Assumptions'!B6</f>
        <v/>
      </c>
      <c r="E16" s="14" t="n">
        <v>422</v>
      </c>
      <c r="F16" s="14">
        <f>'Assumptions'!B7</f>
        <v/>
      </c>
      <c r="G16" s="14" t="n">
        <v>212</v>
      </c>
      <c r="H16" s="14">
        <f>B16*D16</f>
        <v/>
      </c>
      <c r="I16" s="14">
        <f>C16*E16</f>
        <v/>
      </c>
      <c r="J16" s="14">
        <f>B16*(D16-(F16+'Assumptions'!B8+'Assumptions'!B9+'Assumptions'!B10))-('Assumptions'!B11+'Assumptions'!B12)/12</f>
        <v/>
      </c>
      <c r="K16" s="14">
        <f>C16*(E16-(G16+'Assumptions'!B8+'Assumptions'!B9+'Assumptions'!B10))-('Assumptions'!B11+'Assumptions'!B12)/12</f>
        <v/>
      </c>
      <c r="L16" s="14">
        <f>K16-J16</f>
        <v/>
      </c>
    </row>
    <row r="17"/>
    <row r="18">
      <c r="A18" s="9" t="inlineStr">
        <is>
          <t>TOTAL</t>
        </is>
      </c>
      <c r="B18" s="9">
        <f>SUM(B5:B16)</f>
        <v/>
      </c>
      <c r="C18" s="9">
        <f>SUM(C5:C16)</f>
        <v/>
      </c>
      <c r="H18" s="18">
        <f>SUM(H5:H16)</f>
        <v/>
      </c>
      <c r="I18" s="18">
        <f>SUM(I5:I16)</f>
        <v/>
      </c>
      <c r="J18" s="18">
        <f>SUM(J5:J16)</f>
        <v/>
      </c>
      <c r="K18" s="18">
        <f>SUM(K5:K16)</f>
        <v/>
      </c>
      <c r="L18" s="18">
        <f>SUM(L5:L16)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Scenario Analysis</t>
        </is>
      </c>
    </row>
    <row r="2" ht="30" customHeight="1">
      <c r="A2" s="2" t="inlineStr">
        <is>
          <t>Downside, base, upside, and individual profitability sensitivities.</t>
        </is>
      </c>
    </row>
    <row r="3"/>
    <row r="4">
      <c r="A4" s="10" t="inlineStr">
        <is>
          <t>Driver</t>
        </is>
      </c>
      <c r="B4" s="10" t="inlineStr">
        <is>
          <t>Downside</t>
        </is>
      </c>
      <c r="C4" s="10" t="inlineStr">
        <is>
          <t>Base</t>
        </is>
      </c>
      <c r="D4" s="10" t="inlineStr">
        <is>
          <t>Upside</t>
        </is>
      </c>
    </row>
    <row r="5">
      <c r="A5" t="inlineStr">
        <is>
          <t>Volume</t>
        </is>
      </c>
      <c r="B5" t="n">
        <v>100000</v>
      </c>
      <c r="C5" t="n">
        <v>120000</v>
      </c>
      <c r="D5" t="n">
        <v>135000</v>
      </c>
    </row>
    <row r="6">
      <c r="A6" t="inlineStr">
        <is>
          <t>Price / unit</t>
        </is>
      </c>
      <c r="B6" s="14" t="n">
        <v>400</v>
      </c>
      <c r="C6" s="14" t="n">
        <v>420</v>
      </c>
      <c r="D6" s="14" t="n">
        <v>430</v>
      </c>
    </row>
    <row r="7">
      <c r="A7" t="inlineStr">
        <is>
          <t>Material / unit</t>
        </is>
      </c>
      <c r="B7" s="14" t="n">
        <v>225</v>
      </c>
      <c r="C7" s="14" t="n">
        <v>210</v>
      </c>
      <c r="D7" s="14" t="n">
        <v>202</v>
      </c>
    </row>
    <row r="8">
      <c r="A8" t="inlineStr">
        <is>
          <t>Labor / unit</t>
        </is>
      </c>
      <c r="B8" s="14" t="n">
        <v>52</v>
      </c>
      <c r="C8" s="14" t="n">
        <v>48</v>
      </c>
      <c r="D8" s="14" t="n">
        <v>47</v>
      </c>
    </row>
    <row r="9">
      <c r="A9" t="inlineStr">
        <is>
          <t>Variable OH / unit</t>
        </is>
      </c>
      <c r="B9" s="14" t="n">
        <v>28</v>
      </c>
      <c r="C9" s="14" t="n">
        <v>25</v>
      </c>
      <c r="D9" s="14" t="n">
        <v>24</v>
      </c>
    </row>
    <row r="10">
      <c r="A10" t="inlineStr">
        <is>
          <t>Variable selling / unit</t>
        </is>
      </c>
      <c r="B10" s="14" t="n">
        <v>10</v>
      </c>
      <c r="C10" s="14" t="n">
        <v>10</v>
      </c>
      <c r="D10" s="14" t="n">
        <v>10</v>
      </c>
    </row>
    <row r="11">
      <c r="A11" t="inlineStr">
        <is>
          <t>Fixed costs</t>
        </is>
      </c>
      <c r="B11" s="14" t="n">
        <v>13000000</v>
      </c>
      <c r="C11" s="14" t="n">
        <v>12600000</v>
      </c>
      <c r="D11" s="14" t="n">
        <v>12350000</v>
      </c>
    </row>
    <row r="12"/>
    <row r="13">
      <c r="A13" s="10" t="inlineStr">
        <is>
          <t>Metric</t>
        </is>
      </c>
      <c r="B13" s="10" t="inlineStr">
        <is>
          <t>Downside</t>
        </is>
      </c>
      <c r="C13" s="10" t="inlineStr">
        <is>
          <t>Base</t>
        </is>
      </c>
      <c r="D13" s="10" t="inlineStr">
        <is>
          <t>Upside</t>
        </is>
      </c>
    </row>
    <row r="14">
      <c r="A14" t="inlineStr">
        <is>
          <t>Revenue</t>
        </is>
      </c>
      <c r="B14" s="14">
        <f>B5*B6</f>
        <v/>
      </c>
      <c r="C14" s="14">
        <f>C5*C6</f>
        <v/>
      </c>
      <c r="D14" s="14">
        <f>D5*D6</f>
        <v/>
      </c>
    </row>
    <row r="15">
      <c r="A15" t="inlineStr">
        <is>
          <t>Variable cost / unit</t>
        </is>
      </c>
      <c r="B15" s="14">
        <f>B7+B8+B9+B10</f>
        <v/>
      </c>
      <c r="C15" s="14">
        <f>C7+C8+C9+C10</f>
        <v/>
      </c>
      <c r="D15" s="14">
        <f>D7+D8+D9+D10</f>
        <v/>
      </c>
    </row>
    <row r="16">
      <c r="A16" t="inlineStr">
        <is>
          <t>Operating profit</t>
        </is>
      </c>
      <c r="B16" s="14">
        <f>B5*(B6-B15)-B11</f>
        <v/>
      </c>
      <c r="C16" s="14">
        <f>C5*(C6-C15)-C11</f>
        <v/>
      </c>
      <c r="D16" s="14">
        <f>D5*(D6-D15)-D11</f>
        <v/>
      </c>
    </row>
    <row r="17">
      <c r="A17" t="inlineStr">
        <is>
          <t>Operating margin</t>
        </is>
      </c>
      <c r="B17" s="16">
        <f>B16/B14</f>
        <v/>
      </c>
      <c r="C17" s="16">
        <f>C16/C14</f>
        <v/>
      </c>
      <c r="D17" s="16">
        <f>D16/D14</f>
        <v/>
      </c>
    </row>
    <row r="18">
      <c r="A18" t="inlineStr">
        <is>
          <t>Break-even units</t>
        </is>
      </c>
      <c r="B18" s="17">
        <f>B11/(B6-B15)</f>
        <v/>
      </c>
      <c r="C18" s="17">
        <f>C11/(C6-C15)</f>
        <v/>
      </c>
      <c r="D18" s="17">
        <f>D11/(D6-D15)</f>
        <v/>
      </c>
    </row>
    <row r="19"/>
    <row r="20"/>
    <row r="21">
      <c r="A21" s="10" t="inlineStr">
        <is>
          <t>Sensitivity Lever</t>
        </is>
      </c>
      <c r="B21" s="10" t="inlineStr">
        <is>
          <t>Change</t>
        </is>
      </c>
      <c r="C21" s="10" t="inlineStr">
        <is>
          <t>Annual Op Profit Impact</t>
        </is>
      </c>
    </row>
    <row r="22">
      <c r="A22" t="inlineStr">
        <is>
          <t>Volume</t>
        </is>
      </c>
      <c r="B22" t="inlineStr">
        <is>
          <t>+10,000 units</t>
        </is>
      </c>
      <c r="C22" s="14">
        <f>10000*('Unit Economics'!B10)</f>
        <v/>
      </c>
    </row>
    <row r="23">
      <c r="A23" t="inlineStr">
        <is>
          <t>Material cost</t>
        </is>
      </c>
      <c r="B23" t="inlineStr">
        <is>
          <t>-$5 / unit</t>
        </is>
      </c>
      <c r="C23" s="14">
        <f>'Assumptions'!B5*5</f>
        <v/>
      </c>
    </row>
    <row r="24">
      <c r="A24" t="inlineStr">
        <is>
          <t>Selling price</t>
        </is>
      </c>
      <c r="B24" t="inlineStr">
        <is>
          <t>+1%</t>
        </is>
      </c>
      <c r="C24" s="14">
        <f>'Assumptions'!B5*'Assumptions'!B6*1%</f>
        <v/>
      </c>
    </row>
    <row r="25">
      <c r="A25" t="inlineStr">
        <is>
          <t>Fixed costs</t>
        </is>
      </c>
      <c r="B25" t="inlineStr">
        <is>
          <t>-$500,000</t>
        </is>
      </c>
      <c r="C25" s="14">
        <f>500000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Executive Performance Dashboard</t>
        </is>
      </c>
    </row>
    <row r="2" ht="30" customHeight="1">
      <c r="A2" s="2" t="inlineStr">
        <is>
          <t>Management view of profitability, break-even economics, scenarios, and key sensitivities.</t>
        </is>
      </c>
    </row>
    <row r="4">
      <c r="A4" s="5" t="inlineStr">
        <is>
          <t>Revenue</t>
        </is>
      </c>
      <c r="C4" s="5" t="inlineStr">
        <is>
          <t>Operating Profit</t>
        </is>
      </c>
      <c r="E4" s="5" t="inlineStr">
        <is>
          <t>Operating Margin</t>
        </is>
      </c>
      <c r="G4" s="5" t="inlineStr">
        <is>
          <t>Break-even Units</t>
        </is>
      </c>
    </row>
    <row r="5">
      <c r="A5" s="19">
        <f>'Unit Economics'!B11</f>
        <v/>
      </c>
      <c r="C5" s="19">
        <f>'Unit Economics'!B15</f>
        <v/>
      </c>
      <c r="E5" s="20">
        <f>'Unit Economics'!B16</f>
        <v/>
      </c>
      <c r="G5" s="21">
        <f>'Unit Economics'!B17</f>
        <v/>
      </c>
    </row>
    <row r="6"/>
    <row r="9">
      <c r="A9" s="22" t="inlineStr">
        <is>
          <t>Scenario</t>
        </is>
      </c>
      <c r="B9" s="22" t="inlineStr">
        <is>
          <t>Operating Profit</t>
        </is>
      </c>
      <c r="D9" s="22" t="inlineStr">
        <is>
          <t>Scenario</t>
        </is>
      </c>
      <c r="E9" s="22" t="inlineStr">
        <is>
          <t>Break-even Units</t>
        </is>
      </c>
    </row>
    <row r="10">
      <c r="A10" t="inlineStr">
        <is>
          <t>Downside</t>
        </is>
      </c>
      <c r="B10" s="14">
        <f>'Scenario Analysis'!B16</f>
        <v/>
      </c>
      <c r="D10" t="inlineStr">
        <is>
          <t>Downside</t>
        </is>
      </c>
      <c r="E10" s="17">
        <f>'Scenario Analysis'!B18</f>
        <v/>
      </c>
    </row>
    <row r="11">
      <c r="A11" t="inlineStr">
        <is>
          <t>Base</t>
        </is>
      </c>
      <c r="B11" s="14">
        <f>'Scenario Analysis'!C16</f>
        <v/>
      </c>
      <c r="D11" t="inlineStr">
        <is>
          <t>Base</t>
        </is>
      </c>
      <c r="E11" s="17">
        <f>'Scenario Analysis'!C18</f>
        <v/>
      </c>
    </row>
    <row r="12">
      <c r="A12" t="inlineStr">
        <is>
          <t>Upside</t>
        </is>
      </c>
      <c r="B12" s="14">
        <f>'Scenario Analysis'!D16</f>
        <v/>
      </c>
      <c r="D12" t="inlineStr">
        <is>
          <t>Upside</t>
        </is>
      </c>
      <c r="E12" s="17">
        <f>'Scenario Analysis'!D18</f>
        <v/>
      </c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Budget vs. Actual Variance Dashboard</t>
        </is>
      </c>
    </row>
    <row r="2" ht="30" customHeight="1">
      <c r="A2" s="2" t="inlineStr">
        <is>
          <t>Monthly performance view highlighting revenue and operating-profit divergence from plan.</t>
        </is>
      </c>
    </row>
    <row r="4">
      <c r="A4" s="5" t="inlineStr">
        <is>
          <t>Budget Op Profit</t>
        </is>
      </c>
      <c r="C4" s="5" t="inlineStr">
        <is>
          <t>Actual Op Profit</t>
        </is>
      </c>
      <c r="E4" s="5" t="inlineStr">
        <is>
          <t>Profit Variance</t>
        </is>
      </c>
      <c r="G4" s="5" t="inlineStr">
        <is>
          <t>Actual Units</t>
        </is>
      </c>
    </row>
    <row r="5">
      <c r="A5" s="23">
        <f>'Monthly Forecast'!J18</f>
        <v/>
      </c>
      <c r="C5" s="23">
        <f>'Monthly Forecast'!K18</f>
        <v/>
      </c>
      <c r="E5" s="23">
        <f>'Monthly Forecast'!L18</f>
        <v/>
      </c>
      <c r="G5" s="24">
        <f>'Monthly Forecast'!C18</f>
        <v/>
      </c>
    </row>
    <row r="6"/>
    <row r="9">
      <c r="A9" s="10" t="inlineStr">
        <is>
          <t>Month</t>
        </is>
      </c>
      <c r="B9" s="10" t="inlineStr">
        <is>
          <t>Budget Op Profit</t>
        </is>
      </c>
      <c r="C9" s="10" t="inlineStr">
        <is>
          <t>Actual Op Profit</t>
        </is>
      </c>
    </row>
    <row r="10">
      <c r="A10">
        <f>'Monthly Forecast'!A5</f>
        <v/>
      </c>
      <c r="B10" s="14">
        <f>'Monthly Forecast'!J5</f>
        <v/>
      </c>
      <c r="C10" s="14">
        <f>'Monthly Forecast'!K5</f>
        <v/>
      </c>
    </row>
    <row r="11">
      <c r="A11">
        <f>'Monthly Forecast'!A6</f>
        <v/>
      </c>
      <c r="B11" s="14">
        <f>'Monthly Forecast'!J6</f>
        <v/>
      </c>
      <c r="C11" s="14">
        <f>'Monthly Forecast'!K6</f>
        <v/>
      </c>
    </row>
    <row r="12">
      <c r="A12">
        <f>'Monthly Forecast'!A7</f>
        <v/>
      </c>
      <c r="B12" s="14">
        <f>'Monthly Forecast'!J7</f>
        <v/>
      </c>
      <c r="C12" s="14">
        <f>'Monthly Forecast'!K7</f>
        <v/>
      </c>
    </row>
    <row r="13">
      <c r="A13">
        <f>'Monthly Forecast'!A8</f>
        <v/>
      </c>
      <c r="B13" s="14">
        <f>'Monthly Forecast'!J8</f>
        <v/>
      </c>
      <c r="C13" s="14">
        <f>'Monthly Forecast'!K8</f>
        <v/>
      </c>
    </row>
    <row r="14">
      <c r="A14">
        <f>'Monthly Forecast'!A9</f>
        <v/>
      </c>
      <c r="B14" s="14">
        <f>'Monthly Forecast'!J9</f>
        <v/>
      </c>
      <c r="C14" s="14">
        <f>'Monthly Forecast'!K9</f>
        <v/>
      </c>
    </row>
    <row r="15">
      <c r="A15">
        <f>'Monthly Forecast'!A10</f>
        <v/>
      </c>
      <c r="B15" s="14">
        <f>'Monthly Forecast'!J10</f>
        <v/>
      </c>
      <c r="C15" s="14">
        <f>'Monthly Forecast'!K10</f>
        <v/>
      </c>
    </row>
    <row r="16">
      <c r="A16">
        <f>'Monthly Forecast'!A11</f>
        <v/>
      </c>
      <c r="B16" s="14">
        <f>'Monthly Forecast'!J11</f>
        <v/>
      </c>
      <c r="C16" s="14">
        <f>'Monthly Forecast'!K11</f>
        <v/>
      </c>
    </row>
    <row r="17">
      <c r="A17">
        <f>'Monthly Forecast'!A12</f>
        <v/>
      </c>
      <c r="B17" s="14">
        <f>'Monthly Forecast'!J12</f>
        <v/>
      </c>
      <c r="C17" s="14">
        <f>'Monthly Forecast'!K12</f>
        <v/>
      </c>
    </row>
    <row r="18">
      <c r="A18">
        <f>'Monthly Forecast'!A13</f>
        <v/>
      </c>
      <c r="B18" s="14">
        <f>'Monthly Forecast'!J13</f>
        <v/>
      </c>
      <c r="C18" s="14">
        <f>'Monthly Forecast'!K13</f>
        <v/>
      </c>
    </row>
    <row r="19">
      <c r="A19">
        <f>'Monthly Forecast'!A14</f>
        <v/>
      </c>
      <c r="B19" s="14">
        <f>'Monthly Forecast'!J14</f>
        <v/>
      </c>
      <c r="C19" s="14">
        <f>'Monthly Forecast'!K14</f>
        <v/>
      </c>
    </row>
    <row r="20">
      <c r="A20">
        <f>'Monthly Forecast'!A15</f>
        <v/>
      </c>
      <c r="B20" s="14">
        <f>'Monthly Forecast'!J15</f>
        <v/>
      </c>
      <c r="C20" s="14">
        <f>'Monthly Forecast'!K15</f>
        <v/>
      </c>
    </row>
    <row r="21">
      <c r="A21">
        <f>'Monthly Forecast'!A16</f>
        <v/>
      </c>
      <c r="B21" s="14">
        <f>'Monthly Forecast'!J16</f>
        <v/>
      </c>
      <c r="C21" s="14">
        <f>'Monthly Forecast'!K16</f>
        <v/>
      </c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Scenario &amp; Sensitivity Dashboard</t>
        </is>
      </c>
    </row>
    <row r="2" ht="30" customHeight="1">
      <c r="A2" s="2" t="inlineStr">
        <is>
          <t>Decision-support view of the operating levers with the largest modeled profit impact.</t>
        </is>
      </c>
    </row>
    <row r="4">
      <c r="A4" s="10" t="inlineStr">
        <is>
          <t>Sensitivity Lever</t>
        </is>
      </c>
      <c r="B4" s="10" t="inlineStr">
        <is>
          <t>Change</t>
        </is>
      </c>
      <c r="C4" s="10" t="inlineStr">
        <is>
          <t>Annual Op Profit Impact</t>
        </is>
      </c>
    </row>
    <row r="5">
      <c r="A5">
        <f>'Scenario Analysis'!A22</f>
        <v/>
      </c>
      <c r="B5">
        <f>'Scenario Analysis'!B22</f>
        <v/>
      </c>
      <c r="C5" s="14">
        <f>'Scenario Analysis'!C22</f>
        <v/>
      </c>
    </row>
    <row r="6">
      <c r="A6">
        <f>'Scenario Analysis'!A23</f>
        <v/>
      </c>
      <c r="B6">
        <f>'Scenario Analysis'!B23</f>
        <v/>
      </c>
      <c r="C6" s="14">
        <f>'Scenario Analysis'!C23</f>
        <v/>
      </c>
    </row>
    <row r="7">
      <c r="A7">
        <f>'Scenario Analysis'!A24</f>
        <v/>
      </c>
      <c r="B7">
        <f>'Scenario Analysis'!B24</f>
        <v/>
      </c>
      <c r="C7" s="14">
        <f>'Scenario Analysis'!C24</f>
        <v/>
      </c>
    </row>
    <row r="8">
      <c r="A8">
        <f>'Scenario Analysis'!A25</f>
        <v/>
      </c>
      <c r="B8">
        <f>'Scenario Analysis'!B25</f>
        <v/>
      </c>
      <c r="C8" s="14">
        <f>'Scenario Analysis'!C25</f>
        <v/>
      </c>
    </row>
    <row r="30">
      <c r="A30" s="13" t="inlineStr">
        <is>
          <t>Portfolio note: All values are illustrative case-study data and are not Tesla or employer data.</t>
        </is>
      </c>
    </row>
  </sheetData>
  <mergeCells count="3">
    <mergeCell ref="A2:H2"/>
    <mergeCell ref="A30:H3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2026-09-17T17:43:11Z</dcterms:created>
  <dcterms:modified xsi:type="dcterms:W3CDTF">2026-09-17T17:43:11Z</dcterms:modified>
</cp:coreProperties>
</file>